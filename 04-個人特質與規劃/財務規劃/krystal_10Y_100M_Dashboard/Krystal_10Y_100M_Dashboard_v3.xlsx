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年度版_Yearly" sheetId="2" r:id="rId2"/>
    <sheet name="月度版_Monthly" sheetId="3" r:id="rId3"/>
    <sheet name="三情境_Yearly" sheetId="4" r:id="rId4"/>
    <sheet name="倒推目標_GoalSeek" sheetId="5" r:id="rId5"/>
    <sheet name="資產配置_Alloc" sheetId="6" r:id="rId6"/>
  </sheets>
  <calcPr calcId="124519" fullCalcOnLoad="1"/>
</workbook>
</file>

<file path=xl/sharedStrings.xml><?xml version="1.0" encoding="utf-8"?>
<sst xmlns="http://schemas.openxmlformats.org/spreadsheetml/2006/main" count="82" uniqueCount="80">
  <si>
    <t>Krystal 10-Year 1億資產 Dashboard</t>
  </si>
  <si>
    <t>計畫說明</t>
  </si>
  <si>
    <t>目標：在 10 年內，從約 349 萬滾到資產 1 億，並維持穩健生活與創作節奏。</t>
  </si>
  <si>
    <t>假設：年化 30%（積極）、每年投入 180 萬（本業 + 副業 + 投資）。</t>
  </si>
  <si>
    <t>📊 年度資產成長表：</t>
  </si>
  <si>
    <t>前往 年度版_Yearly</t>
  </si>
  <si>
    <t>📈 三情境預測：</t>
  </si>
  <si>
    <t>前往 三情境_Yearly</t>
  </si>
  <si>
    <t>🎯 倒推目標試算：</t>
  </si>
  <si>
    <t>前往 倒推目標_GoalSeek</t>
  </si>
  <si>
    <t>🧩 資產配置調整：</t>
  </si>
  <si>
    <t>前往 資產配置_Alloc</t>
  </si>
  <si>
    <t>第 10 年目標 vs 三情境資產（快速一眼看）</t>
  </si>
  <si>
    <t>Base 計畫（30% APY）第 10 年</t>
  </si>
  <si>
    <t>悲觀情境（15%）第 10 年</t>
  </si>
  <si>
    <t>中性情境（25%）第 10 年</t>
  </si>
  <si>
    <t>樂觀情境（35%）第 10 年</t>
  </si>
  <si>
    <t>達成進度（以 1 億為目標）</t>
  </si>
  <si>
    <t>目前資產 (假設填在這)：</t>
  </si>
  <si>
    <t>達成比例：</t>
  </si>
  <si>
    <t>使用說明：</t>
  </si>
  <si>
    <t>1. 每年年底，在 年度版_Yearly / 資產配置_Alloc 裡更新你的「實際資產」。</t>
  </si>
  <si>
    <t>2. 在 Dashboard 這頁更新 B20，馬上看到你離 1 億的進度比例。</t>
  </si>
  <si>
    <t>3. 若績效偏離計畫，可以用「倒推目標_GoalSeek」調整報酬率 / 每年投入金額。</t>
  </si>
  <si>
    <t>4. 用「三情境_Yearly」理解悲觀 / 中性 / 樂觀情況下，你大概什麼時候會到 1 億。</t>
  </si>
  <si>
    <t>年份 (Year)</t>
  </si>
  <si>
    <t>期末資產 (End Capital)</t>
  </si>
  <si>
    <t>年化報酬假設 (Annual Return)</t>
  </si>
  <si>
    <t>年度投入 (Annual Contribution)</t>
  </si>
  <si>
    <t>月份 (Month)</t>
  </si>
  <si>
    <t>月化報酬假設 (Monthly Return)</t>
  </si>
  <si>
    <t>月投入 (Monthly Contribution)</t>
  </si>
  <si>
    <t>悲觀_15%</t>
  </si>
  <si>
    <t>中性_25%</t>
  </si>
  <si>
    <t>樂觀_35%</t>
  </si>
  <si>
    <t>倒推目標試算：我要幾 % 報酬率 / 每年要投入多少，才能在指定年數達到目標資產？</t>
  </si>
  <si>
    <t>初始資產 (P0)</t>
  </si>
  <si>
    <t>目標資產 (FV)</t>
  </si>
  <si>
    <t>年數 (n)</t>
  </si>
  <si>
    <t>年化報酬率 (r)</t>
  </si>
  <si>
    <t>每年投入金額 (C)</t>
  </si>
  <si>
    <t>給定 P0, FV, n, r → 所需每年投入 C：</t>
  </si>
  <si>
    <t>所需每年投入 C</t>
  </si>
  <si>
    <t>給定 P0, FV, n, C → 所需年化報酬率 r：</t>
  </si>
  <si>
    <t>所需年化報酬率</t>
  </si>
  <si>
    <t>使用方法：</t>
  </si>
  <si>
    <t>1. 改 B4 成你想達成的目標資產，例如 2 億。</t>
  </si>
  <si>
    <t>2. 改 B5 成你願意給自己的時間（例如 12 年）。</t>
  </si>
  <si>
    <t>3. 想知道每年要投入多少？→ 改 B6（r），看 B10。</t>
  </si>
  <si>
    <t>4. 想知道需要幾 % 年化？→ 改 B7（每年投入），看 B13。</t>
  </si>
  <si>
    <t>多策略資產配置（ETF + 強勢股 + 期貨日內 + cbAS + Cover Call）</t>
  </si>
  <si>
    <t>總資金 (Total Capital)</t>
  </si>
  <si>
    <t>策略代號</t>
  </si>
  <si>
    <t>策略說明</t>
  </si>
  <si>
    <t>資金比例 (Weight)</t>
  </si>
  <si>
    <t>假設年化報酬率 (APY)</t>
  </si>
  <si>
    <t>配置金額 (Capital)</t>
  </si>
  <si>
    <t>年化貢獻 (Weight*APY)</t>
  </si>
  <si>
    <t>ETF_DM_US</t>
  </si>
  <si>
    <t>ETF 動能 - 美股 Dual Momentum</t>
  </si>
  <si>
    <t>ETF_DM_TW</t>
  </si>
  <si>
    <t>ETF 動能 - 台股 Dual Momentum</t>
  </si>
  <si>
    <t>Strong_US</t>
  </si>
  <si>
    <t>強勢股 - 美股</t>
  </si>
  <si>
    <t>Strong_TW</t>
  </si>
  <si>
    <t>強勢股 - 台股</t>
  </si>
  <si>
    <t>Futures_Day</t>
  </si>
  <si>
    <t>期貨 - 日內策略</t>
  </si>
  <si>
    <t>CB_Arb</t>
  </si>
  <si>
    <t>可轉債套利 cbAS</t>
  </si>
  <si>
    <t>CoverCall</t>
  </si>
  <si>
    <t>選擇權 Cover Call</t>
  </si>
  <si>
    <t>Others</t>
  </si>
  <si>
    <t>其他 / 防禦 / 現金</t>
  </si>
  <si>
    <t>合計</t>
  </si>
  <si>
    <t>組合預期年化報酬率 (Portfolio APY)</t>
  </si>
  <si>
    <t>使用方式：</t>
  </si>
  <si>
    <t>1. 改 C 欄的資金比例（Weight），讓加總接近 100%。</t>
  </si>
  <si>
    <t>2. 改 D 欄各策略的 APY 假設。</t>
  </si>
  <si>
    <t>3. 看 F 欄與下方的 Portfolio APY，調整到你可以接受的「報酬 / 風險」組合。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</si>
</sst>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8"/>
      <color rgb="FF4A148C"/>
      <name val="Calibri"/>
      <family val="2"/>
      <scheme val="minor"/>
    </font>
    <font>
      <b/>
      <sz val="12"/>
      <color rgb="FF6A1B9A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311B92"/>
      <name val="Calibri"/>
      <family val="2"/>
      <scheme val="minor"/>
    </font>
    <font>
      <b/>
      <sz val="11"/>
      <color rgb="FF4A148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7F6"/>
        <bgColor indexed="64"/>
      </patternFill>
    </fill>
    <fill>
      <patternFill patternType="solid">
        <fgColor rgb="FFD1C4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0" fontId="4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5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年度資產成長曲線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Base 資產成長 (30% APY)</c:v>
          </c:tx>
          <c:marker>
            <c:symbol val="none"/>
          </c:marker>
          <c:cat>
            <c:numRef>
              <c:f>年度版_Yearly!$A$2:$A$11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年度版_Yearly!$B$2:$B$11</c:f>
              <c:numCache>
                <c:formatCode>General</c:formatCode>
                <c:ptCount val="10"/>
                <c:pt idx="0">
                  <c:v>6338567.8</c:v>
                </c:pt>
                <c:pt idx="1">
                  <c:v>10040138.14</c:v>
                </c:pt>
                <c:pt idx="2">
                  <c:v>14852179.582</c:v>
                </c:pt>
                <c:pt idx="3">
                  <c:v>21107833.4566</c:v>
                </c:pt>
                <c:pt idx="4">
                  <c:v>29240183.49358001</c:v>
                </c:pt>
                <c:pt idx="5">
                  <c:v>39812238.54165401</c:v>
                </c:pt>
                <c:pt idx="6">
                  <c:v>53555910.10415021</c:v>
                </c:pt>
                <c:pt idx="7">
                  <c:v>71422683.13539527</c:v>
                </c:pt>
                <c:pt idx="8">
                  <c:v>94649488.07601386</c:v>
                </c:pt>
                <c:pt idx="9">
                  <c:v>124844334.498818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年份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資產金額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三情境年度資產成長比較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三情境_Yearly!$B$1</c:f>
              <c:strCache>
                <c:ptCount val="1"/>
                <c:pt idx="0">
                  <c:v>悲觀_15%</c:v>
                </c:pt>
              </c:strCache>
            </c:strRef>
          </c:tx>
          <c:marker>
            <c:symbol val="none"/>
          </c:marker>
          <c:cat>
            <c:numRef>
              <c:f>三情境_Yearly!$A$2:$A$11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三情境_Yearly!$B$2:$B$11</c:f>
              <c:numCache>
                <c:formatCode>General</c:formatCode>
                <c:ptCount val="10"/>
                <c:pt idx="0">
                  <c:v>5814886.9</c:v>
                </c:pt>
                <c:pt idx="1">
                  <c:v>8487119.934999999</c:v>
                </c:pt>
                <c:pt idx="2">
                  <c:v>11560187.92525</c:v>
                </c:pt>
                <c:pt idx="3">
                  <c:v>15094216.1140375</c:v>
                </c:pt>
                <c:pt idx="4">
                  <c:v>19158348.53114312</c:v>
                </c:pt>
                <c:pt idx="5">
                  <c:v>23832100.81081459</c:v>
                </c:pt>
                <c:pt idx="6">
                  <c:v>29206915.93243678</c:v>
                </c:pt>
                <c:pt idx="7">
                  <c:v>35387953.32230229</c:v>
                </c:pt>
                <c:pt idx="8">
                  <c:v>42496146.32064763</c:v>
                </c:pt>
                <c:pt idx="9">
                  <c:v>50670568.26874477</c:v>
                </c:pt>
              </c:numCache>
            </c:numRef>
          </c:val>
        </c:ser>
        <c:ser>
          <c:idx val="1"/>
          <c:order val="1"/>
          <c:tx>
            <c:strRef>
              <c:f>三情境_Yearly!$C$1</c:f>
              <c:strCache>
                <c:ptCount val="1"/>
                <c:pt idx="0">
                  <c:v>中性_25%</c:v>
                </c:pt>
              </c:strCache>
            </c:strRef>
          </c:tx>
          <c:marker>
            <c:symbol val="none"/>
          </c:marker>
          <c:cat>
            <c:numRef>
              <c:f>三情境_Yearly!$A$2:$A$11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三情境_Yearly!$C$2:$C$11</c:f>
              <c:numCache>
                <c:formatCode>General</c:formatCode>
                <c:ptCount val="10"/>
                <c:pt idx="0">
                  <c:v>6164007.5</c:v>
                </c:pt>
                <c:pt idx="1">
                  <c:v>9505009.375</c:v>
                </c:pt>
                <c:pt idx="2">
                  <c:v>13681261.71875</c:v>
                </c:pt>
                <c:pt idx="3">
                  <c:v>18901577.1484375</c:v>
                </c:pt>
                <c:pt idx="4">
                  <c:v>25426971.43554688</c:v>
                </c:pt>
                <c:pt idx="5">
                  <c:v>33583714.29443359</c:v>
                </c:pt>
                <c:pt idx="6">
                  <c:v>43779642.86804199</c:v>
                </c:pt>
                <c:pt idx="7">
                  <c:v>56524553.58505249</c:v>
                </c:pt>
                <c:pt idx="8">
                  <c:v>72455691.98131561</c:v>
                </c:pt>
                <c:pt idx="9">
                  <c:v>92369614.97664452</c:v>
                </c:pt>
              </c:numCache>
            </c:numRef>
          </c:val>
        </c:ser>
        <c:ser>
          <c:idx val="2"/>
          <c:order val="2"/>
          <c:tx>
            <c:strRef>
              <c:f>三情境_Yearly!$D$1</c:f>
              <c:strCache>
                <c:ptCount val="1"/>
                <c:pt idx="0">
                  <c:v>樂觀_35%</c:v>
                </c:pt>
              </c:strCache>
            </c:strRef>
          </c:tx>
          <c:marker>
            <c:symbol val="none"/>
          </c:marker>
          <c:cat>
            <c:numRef>
              <c:f>三情境_Yearly!$A$2:$A$11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三情境_Yearly!$D$2:$D$11</c:f>
              <c:numCache>
                <c:formatCode>General</c:formatCode>
                <c:ptCount val="10"/>
                <c:pt idx="0">
                  <c:v>6513128.100000001</c:v>
                </c:pt>
                <c:pt idx="1">
                  <c:v>10592722.935</c:v>
                </c:pt>
                <c:pt idx="2">
                  <c:v>16100175.96225</c:v>
                </c:pt>
                <c:pt idx="3">
                  <c:v>23535237.5490375</c:v>
                </c:pt>
                <c:pt idx="4">
                  <c:v>33572570.69120063</c:v>
                </c:pt>
                <c:pt idx="5">
                  <c:v>47122970.43312085</c:v>
                </c:pt>
                <c:pt idx="6">
                  <c:v>65416010.08471316</c:v>
                </c:pt>
                <c:pt idx="7">
                  <c:v>90111613.61436278</c:v>
                </c:pt>
                <c:pt idx="8">
                  <c:v>123450678.3793898</c:v>
                </c:pt>
                <c:pt idx="9">
                  <c:v>168458415.8121762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年份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資產金額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24.7109375" customWidth="1"/>
    <col min="2" max="4" width="20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</row>
    <row r="5" spans="1:2">
      <c r="A5" t="s">
        <v>3</v>
      </c>
    </row>
    <row r="7" spans="1:2">
      <c r="A7" s="2" t="s">
        <v>4</v>
      </c>
      <c r="B7" s="3" t="s">
        <v>5</v>
      </c>
    </row>
    <row r="8" spans="1:2">
      <c r="A8" s="2" t="s">
        <v>6</v>
      </c>
      <c r="B8" s="3" t="s">
        <v>7</v>
      </c>
    </row>
    <row r="9" spans="1:2">
      <c r="A9" s="2" t="s">
        <v>8</v>
      </c>
      <c r="B9" s="3" t="s">
        <v>9</v>
      </c>
    </row>
    <row r="10" spans="1:2">
      <c r="A10" s="2" t="s">
        <v>10</v>
      </c>
      <c r="B10" s="3" t="s">
        <v>11</v>
      </c>
    </row>
    <row r="12" spans="1:2">
      <c r="A12" s="2" t="s">
        <v>12</v>
      </c>
    </row>
    <row r="14" spans="1:2">
      <c r="A14" s="4" t="s">
        <v>13</v>
      </c>
      <c r="B14" s="5">
        <f>'年度版_Yearly'!B11</f>
        <v>0</v>
      </c>
    </row>
    <row r="15" spans="1:2">
      <c r="A15" s="4" t="s">
        <v>14</v>
      </c>
      <c r="B15" s="5">
        <f>'三情境_Yearly'!B11</f>
        <v>0</v>
      </c>
    </row>
    <row r="16" spans="1:2">
      <c r="A16" s="4" t="s">
        <v>15</v>
      </c>
      <c r="B16" s="5">
        <f>'三情境_Yearly'!C11</f>
        <v>0</v>
      </c>
    </row>
    <row r="17" spans="1:2">
      <c r="A17" s="4" t="s">
        <v>16</v>
      </c>
      <c r="B17" s="5">
        <f>'三情境_Yearly'!D11</f>
        <v>0</v>
      </c>
    </row>
    <row r="19" spans="1:2">
      <c r="A19" s="2" t="s">
        <v>17</v>
      </c>
    </row>
    <row r="20" spans="1:2">
      <c r="A20" s="4" t="s">
        <v>18</v>
      </c>
      <c r="B20" s="5">
        <v>3491206</v>
      </c>
    </row>
    <row r="21" spans="1:2">
      <c r="A21" s="4" t="s">
        <v>19</v>
      </c>
      <c r="B21" s="6">
        <f>B20/100000000</f>
        <v>0</v>
      </c>
    </row>
    <row r="23" spans="1:2">
      <c r="A23" s="2" t="s">
        <v>20</v>
      </c>
    </row>
    <row r="24" spans="1:2">
      <c r="A24" t="s">
        <v>21</v>
      </c>
    </row>
    <row r="25" spans="1:2">
      <c r="A25" t="s">
        <v>22</v>
      </c>
    </row>
    <row r="26" spans="1:2">
      <c r="A26" t="s">
        <v>23</v>
      </c>
    </row>
    <row r="27" spans="1:2">
      <c r="A27" t="s">
        <v>24</v>
      </c>
    </row>
  </sheetData>
  <hyperlinks>
    <hyperlink ref="B7" location="'年度版_Yearly'!A1" display="前往 年度版_Yearly"/>
    <hyperlink ref="B8" location="'三情境_Yearly'!A1" display="前往 三情境_Yearly"/>
    <hyperlink ref="B9" location="'倒推目標_GoalSeek'!A1" display="前往 倒推目標_GoalSeek"/>
    <hyperlink ref="B10" location="'資產配置_Alloc'!A1" display="前往 資產配置_Alloc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2.7109375" customWidth="1"/>
    <col min="2" max="4" width="18.7109375" customWidth="1"/>
  </cols>
  <sheetData>
    <row r="1" spans="1:4">
      <c r="A1" s="4" t="s">
        <v>25</v>
      </c>
      <c r="B1" s="4" t="s">
        <v>26</v>
      </c>
      <c r="C1" s="4" t="s">
        <v>27</v>
      </c>
      <c r="D1" s="4" t="s">
        <v>28</v>
      </c>
    </row>
    <row r="2" spans="1:4">
      <c r="A2" s="7">
        <v>1</v>
      </c>
      <c r="B2" s="5">
        <v>6338567.8</v>
      </c>
      <c r="C2" s="6">
        <v>0.3</v>
      </c>
      <c r="D2" s="5">
        <v>1800000</v>
      </c>
    </row>
    <row r="3" spans="1:4">
      <c r="A3" s="7">
        <v>2</v>
      </c>
      <c r="B3" s="5">
        <v>10040138.14</v>
      </c>
      <c r="C3" s="6">
        <v>0.3</v>
      </c>
      <c r="D3" s="5">
        <v>1800000</v>
      </c>
    </row>
    <row r="4" spans="1:4">
      <c r="A4" s="7">
        <v>3</v>
      </c>
      <c r="B4" s="5">
        <v>14852179.582</v>
      </c>
      <c r="C4" s="6">
        <v>0.3</v>
      </c>
      <c r="D4" s="5">
        <v>1800000</v>
      </c>
    </row>
    <row r="5" spans="1:4">
      <c r="A5" s="7">
        <v>4</v>
      </c>
      <c r="B5" s="5">
        <v>21107833.4566</v>
      </c>
      <c r="C5" s="6">
        <v>0.3</v>
      </c>
      <c r="D5" s="5">
        <v>1800000</v>
      </c>
    </row>
    <row r="6" spans="1:4">
      <c r="A6" s="7">
        <v>5</v>
      </c>
      <c r="B6" s="5">
        <v>29240183.49358001</v>
      </c>
      <c r="C6" s="6">
        <v>0.3</v>
      </c>
      <c r="D6" s="5">
        <v>1800000</v>
      </c>
    </row>
    <row r="7" spans="1:4">
      <c r="A7" s="7">
        <v>6</v>
      </c>
      <c r="B7" s="5">
        <v>39812238.54165401</v>
      </c>
      <c r="C7" s="6">
        <v>0.3</v>
      </c>
      <c r="D7" s="5">
        <v>1800000</v>
      </c>
    </row>
    <row r="8" spans="1:4">
      <c r="A8" s="7">
        <v>7</v>
      </c>
      <c r="B8" s="5">
        <v>53555910.10415021</v>
      </c>
      <c r="C8" s="6">
        <v>0.3</v>
      </c>
      <c r="D8" s="5">
        <v>1800000</v>
      </c>
    </row>
    <row r="9" spans="1:4">
      <c r="A9" s="7">
        <v>8</v>
      </c>
      <c r="B9" s="5">
        <v>71422683.13539527</v>
      </c>
      <c r="C9" s="6">
        <v>0.3</v>
      </c>
      <c r="D9" s="5">
        <v>1800000</v>
      </c>
    </row>
    <row r="10" spans="1:4">
      <c r="A10" s="7">
        <v>9</v>
      </c>
      <c r="B10" s="5">
        <v>94649488.07601386</v>
      </c>
      <c r="C10" s="6">
        <v>0.3</v>
      </c>
      <c r="D10" s="5">
        <v>1800000</v>
      </c>
    </row>
    <row r="11" spans="1:4">
      <c r="A11" s="7">
        <v>10</v>
      </c>
      <c r="B11" s="5">
        <v>124844334.498818</v>
      </c>
      <c r="C11" s="6">
        <v>0.3</v>
      </c>
      <c r="D11" s="5">
        <v>1800000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cols>
    <col min="1" max="1" width="12.7109375" customWidth="1"/>
    <col min="2" max="4" width="18.7109375" customWidth="1"/>
  </cols>
  <sheetData>
    <row r="1" spans="1:4">
      <c r="A1" s="4" t="s">
        <v>29</v>
      </c>
      <c r="B1" s="4" t="s">
        <v>26</v>
      </c>
      <c r="C1" s="4" t="s">
        <v>30</v>
      </c>
      <c r="D1" s="4" t="s">
        <v>31</v>
      </c>
    </row>
    <row r="2" spans="1:4">
      <c r="A2" s="7">
        <v>1</v>
      </c>
      <c r="B2" s="5">
        <v>3718377.190539135</v>
      </c>
      <c r="C2" s="6">
        <v>0.02210445059361588</v>
      </c>
      <c r="D2" s="5">
        <v>150000</v>
      </c>
    </row>
    <row r="3" spans="1:4">
      <c r="A3" s="7">
        <v>2</v>
      </c>
      <c r="B3" s="5">
        <v>3950569.875435836</v>
      </c>
      <c r="C3" s="6">
        <v>0.02210445059361588</v>
      </c>
      <c r="D3" s="5">
        <v>150000</v>
      </c>
    </row>
    <row r="4" spans="1:4">
      <c r="A4" s="7">
        <v>3</v>
      </c>
      <c r="B4" s="5">
        <v>4187895.052064034</v>
      </c>
      <c r="C4" s="6">
        <v>0.02210445059361588</v>
      </c>
      <c r="D4" s="5">
        <v>150000</v>
      </c>
    </row>
    <row r="5" spans="1:4">
      <c r="A5" s="7">
        <v>4</v>
      </c>
      <c r="B5" s="5">
        <v>4430466.171333632</v>
      </c>
      <c r="C5" s="6">
        <v>0.02210445059361588</v>
      </c>
      <c r="D5" s="5">
        <v>150000</v>
      </c>
    </row>
    <row r="6" spans="1:4">
      <c r="A6" s="7">
        <v>5</v>
      </c>
      <c r="B6" s="5">
        <v>4678399.191924564</v>
      </c>
      <c r="C6" s="6">
        <v>0.02210445059361588</v>
      </c>
      <c r="D6" s="5">
        <v>150000</v>
      </c>
    </row>
    <row r="7" spans="1:4">
      <c r="A7" s="7">
        <v>6</v>
      </c>
      <c r="B7" s="5">
        <v>4931812.635719673</v>
      </c>
      <c r="C7" s="6">
        <v>0.02210445059361588</v>
      </c>
      <c r="D7" s="5">
        <v>150000</v>
      </c>
    </row>
    <row r="8" spans="1:4">
      <c r="A8" s="7">
        <v>7</v>
      </c>
      <c r="B8" s="5">
        <v>5190827.644462909</v>
      </c>
      <c r="C8" s="6">
        <v>0.02210445059361588</v>
      </c>
      <c r="D8" s="5">
        <v>150000</v>
      </c>
    </row>
    <row r="9" spans="1:4">
      <c r="A9" s="7">
        <v>8</v>
      </c>
      <c r="B9" s="5">
        <v>5455568.037669915</v>
      </c>
      <c r="C9" s="6">
        <v>0.02210445059361588</v>
      </c>
      <c r="D9" s="5">
        <v>150000</v>
      </c>
    </row>
    <row r="10" spans="1:4">
      <c r="A10" s="7">
        <v>9</v>
      </c>
      <c r="B10" s="5">
        <v>5726160.371818699</v>
      </c>
      <c r="C10" s="6">
        <v>0.02210445059361588</v>
      </c>
      <c r="D10" s="5">
        <v>150000</v>
      </c>
    </row>
    <row r="11" spans="1:4">
      <c r="A11" s="7">
        <v>10</v>
      </c>
      <c r="B11" s="5">
        <v>6002734.000848686</v>
      </c>
      <c r="C11" s="6">
        <v>0.02210445059361588</v>
      </c>
      <c r="D11" s="5">
        <v>150000</v>
      </c>
    </row>
    <row r="12" spans="1:4">
      <c r="A12" s="7">
        <v>11</v>
      </c>
      <c r="B12" s="5">
        <v>6285421.137997064</v>
      </c>
      <c r="C12" s="6">
        <v>0.02210445059361588</v>
      </c>
      <c r="D12" s="5">
        <v>150000</v>
      </c>
    </row>
    <row r="13" spans="1:4">
      <c r="A13" s="7">
        <v>12</v>
      </c>
      <c r="B13" s="5">
        <v>6574356.919001989</v>
      </c>
      <c r="C13" s="6">
        <v>0.02210445059361588</v>
      </c>
      <c r="D13" s="5">
        <v>150000</v>
      </c>
    </row>
    <row r="14" spans="1:4">
      <c r="A14" s="7">
        <v>13</v>
      </c>
      <c r="B14" s="5">
        <v>6869679.466702865</v>
      </c>
      <c r="C14" s="6">
        <v>0.02210445059361588</v>
      </c>
      <c r="D14" s="5">
        <v>150000</v>
      </c>
    </row>
    <row r="15" spans="1:4">
      <c r="A15" s="7">
        <v>14</v>
      </c>
      <c r="B15" s="5">
        <v>7171529.957068576</v>
      </c>
      <c r="C15" s="6">
        <v>0.02210445059361588</v>
      </c>
      <c r="D15" s="5">
        <v>150000</v>
      </c>
    </row>
    <row r="16" spans="1:4">
      <c r="A16" s="7">
        <v>15</v>
      </c>
      <c r="B16" s="5">
        <v>7480052.686685235</v>
      </c>
      <c r="C16" s="6">
        <v>0.02210445059361588</v>
      </c>
      <c r="D16" s="5">
        <v>150000</v>
      </c>
    </row>
    <row r="17" spans="1:4">
      <c r="A17" s="7">
        <v>16</v>
      </c>
      <c r="B17" s="5">
        <v>7795395.141735713</v>
      </c>
      <c r="C17" s="6">
        <v>0.02210445059361588</v>
      </c>
      <c r="D17" s="5">
        <v>150000</v>
      </c>
    </row>
    <row r="18" spans="1:4">
      <c r="A18" s="7">
        <v>17</v>
      </c>
      <c r="B18" s="5">
        <v>8117708.068503924</v>
      </c>
      <c r="C18" s="6">
        <v>0.02210445059361588</v>
      </c>
      <c r="D18" s="5">
        <v>150000</v>
      </c>
    </row>
    <row r="19" spans="1:4">
      <c r="A19" s="7">
        <v>18</v>
      </c>
      <c r="B19" s="5">
        <v>8447145.545437567</v>
      </c>
      <c r="C19" s="6">
        <v>0.02210445059361588</v>
      </c>
      <c r="D19" s="5">
        <v>150000</v>
      </c>
    </row>
    <row r="20" spans="1:4">
      <c r="A20" s="7">
        <v>19</v>
      </c>
      <c r="B20" s="5">
        <v>8783865.056803774</v>
      </c>
      <c r="C20" s="6">
        <v>0.02210445059361588</v>
      </c>
      <c r="D20" s="5">
        <v>150000</v>
      </c>
    </row>
    <row r="21" spans="1:4">
      <c r="A21" s="7">
        <v>20</v>
      </c>
      <c r="B21" s="5">
        <v>9128027.567972882</v>
      </c>
      <c r="C21" s="6">
        <v>0.02210445059361588</v>
      </c>
      <c r="D21" s="5">
        <v>150000</v>
      </c>
    </row>
    <row r="22" spans="1:4">
      <c r="A22" s="7">
        <v>21</v>
      </c>
      <c r="B22" s="5">
        <v>9479797.602366302</v>
      </c>
      <c r="C22" s="6">
        <v>0.02210445059361588</v>
      </c>
      <c r="D22" s="5">
        <v>150000</v>
      </c>
    </row>
    <row r="23" spans="1:4">
      <c r="A23" s="7">
        <v>22</v>
      </c>
      <c r="B23" s="5">
        <v>9839343.320105286</v>
      </c>
      <c r="C23" s="6">
        <v>0.02210445059361588</v>
      </c>
      <c r="D23" s="5">
        <v>150000</v>
      </c>
    </row>
    <row r="24" spans="1:4">
      <c r="A24" s="7">
        <v>23</v>
      </c>
      <c r="B24" s="5">
        <v>10206836.59839818</v>
      </c>
      <c r="C24" s="6">
        <v>0.02210445059361588</v>
      </c>
      <c r="D24" s="5">
        <v>150000</v>
      </c>
    </row>
    <row r="25" spans="1:4">
      <c r="A25" s="7">
        <v>24</v>
      </c>
      <c r="B25" s="5">
        <v>10582453.11370458</v>
      </c>
      <c r="C25" s="6">
        <v>0.02210445059361588</v>
      </c>
      <c r="D25" s="5">
        <v>150000</v>
      </c>
    </row>
    <row r="26" spans="1:4">
      <c r="A26" s="7">
        <v>25</v>
      </c>
      <c r="B26" s="5">
        <v>10966372.42571572</v>
      </c>
      <c r="C26" s="6">
        <v>0.02210445059361588</v>
      </c>
      <c r="D26" s="5">
        <v>150000</v>
      </c>
    </row>
    <row r="27" spans="1:4">
      <c r="A27" s="7">
        <v>26</v>
      </c>
      <c r="B27" s="5">
        <v>11358778.06319115</v>
      </c>
      <c r="C27" s="6">
        <v>0.02210445059361588</v>
      </c>
      <c r="D27" s="5">
        <v>150000</v>
      </c>
    </row>
    <row r="28" spans="1:4">
      <c r="A28" s="7">
        <v>27</v>
      </c>
      <c r="B28" s="5">
        <v>11759857.6116928</v>
      </c>
      <c r="C28" s="6">
        <v>0.02210445059361588</v>
      </c>
      <c r="D28" s="5">
        <v>150000</v>
      </c>
    </row>
    <row r="29" spans="1:4">
      <c r="A29" s="7">
        <v>28</v>
      </c>
      <c r="B29" s="5">
        <v>12169802.80325842</v>
      </c>
      <c r="C29" s="6">
        <v>0.02210445059361588</v>
      </c>
      <c r="D29" s="5">
        <v>150000</v>
      </c>
    </row>
    <row r="30" spans="1:4">
      <c r="A30" s="7">
        <v>29</v>
      </c>
      <c r="B30" s="5">
        <v>12588809.6080571</v>
      </c>
      <c r="C30" s="6">
        <v>0.02210445059361588</v>
      </c>
      <c r="D30" s="5">
        <v>150000</v>
      </c>
    </row>
    <row r="31" spans="1:4">
      <c r="A31" s="7">
        <v>30</v>
      </c>
      <c r="B31" s="5">
        <v>13017078.32807083</v>
      </c>
      <c r="C31" s="6">
        <v>0.02210445059361588</v>
      </c>
      <c r="D31" s="5">
        <v>150000</v>
      </c>
    </row>
    <row r="32" spans="1:4">
      <c r="A32" s="7">
        <v>31</v>
      </c>
      <c r="B32" s="5">
        <v>13454813.6928469</v>
      </c>
      <c r="C32" s="6">
        <v>0.02210445059361588</v>
      </c>
      <c r="D32" s="5">
        <v>150000</v>
      </c>
    </row>
    <row r="33" spans="1:4">
      <c r="A33" s="7">
        <v>32</v>
      </c>
      <c r="B33" s="5">
        <v>13902224.95736674</v>
      </c>
      <c r="C33" s="6">
        <v>0.02210445059361588</v>
      </c>
      <c r="D33" s="5">
        <v>150000</v>
      </c>
    </row>
    <row r="34" spans="1:4">
      <c r="A34" s="7">
        <v>33</v>
      </c>
      <c r="B34" s="5">
        <v>14359526.00207819</v>
      </c>
      <c r="C34" s="6">
        <v>0.02210445059361588</v>
      </c>
      <c r="D34" s="5">
        <v>150000</v>
      </c>
    </row>
    <row r="35" spans="1:4">
      <c r="A35" s="7">
        <v>34</v>
      </c>
      <c r="B35" s="5">
        <v>14826935.43513887</v>
      </c>
      <c r="C35" s="6">
        <v>0.02210445059361588</v>
      </c>
      <c r="D35" s="5">
        <v>150000</v>
      </c>
    </row>
    <row r="36" spans="1:4">
      <c r="A36" s="7">
        <v>35</v>
      </c>
      <c r="B36" s="5">
        <v>15304676.69691963</v>
      </c>
      <c r="C36" s="6">
        <v>0.02210445059361588</v>
      </c>
      <c r="D36" s="5">
        <v>150000</v>
      </c>
    </row>
    <row r="37" spans="1:4">
      <c r="A37" s="7">
        <v>36</v>
      </c>
      <c r="B37" s="5">
        <v>15792978.16681795</v>
      </c>
      <c r="C37" s="6">
        <v>0.02210445059361588</v>
      </c>
      <c r="D37" s="5">
        <v>150000</v>
      </c>
    </row>
    <row r="38" spans="1:4">
      <c r="A38" s="7">
        <v>37</v>
      </c>
      <c r="B38" s="5">
        <v>16292073.27243244</v>
      </c>
      <c r="C38" s="6">
        <v>0.02210445059361588</v>
      </c>
      <c r="D38" s="5">
        <v>150000</v>
      </c>
    </row>
    <row r="39" spans="1:4">
      <c r="A39" s="7">
        <v>38</v>
      </c>
      <c r="B39" s="5">
        <v>16802200.60115049</v>
      </c>
      <c r="C39" s="6">
        <v>0.02210445059361588</v>
      </c>
      <c r="D39" s="5">
        <v>150000</v>
      </c>
    </row>
    <row r="40" spans="1:4">
      <c r="A40" s="7">
        <v>39</v>
      </c>
      <c r="B40" s="5">
        <v>17323604.01420264</v>
      </c>
      <c r="C40" s="6">
        <v>0.02210445059361588</v>
      </c>
      <c r="D40" s="5">
        <v>150000</v>
      </c>
    </row>
    <row r="41" spans="1:4">
      <c r="A41" s="7">
        <v>40</v>
      </c>
      <c r="B41" s="5">
        <v>17856532.76323795</v>
      </c>
      <c r="C41" s="6">
        <v>0.02210445059361588</v>
      </c>
      <c r="D41" s="5">
        <v>150000</v>
      </c>
    </row>
    <row r="42" spans="1:4">
      <c r="A42" s="7">
        <v>41</v>
      </c>
      <c r="B42" s="5">
        <v>18401241.60947623</v>
      </c>
      <c r="C42" s="6">
        <v>0.02210445059361588</v>
      </c>
      <c r="D42" s="5">
        <v>150000</v>
      </c>
    </row>
    <row r="43" spans="1:4">
      <c r="A43" s="7">
        <v>42</v>
      </c>
      <c r="B43" s="5">
        <v>18957990.94549408</v>
      </c>
      <c r="C43" s="6">
        <v>0.02210445059361588</v>
      </c>
      <c r="D43" s="5">
        <v>150000</v>
      </c>
    </row>
    <row r="44" spans="1:4">
      <c r="A44" s="7">
        <v>43</v>
      </c>
      <c r="B44" s="5">
        <v>19527046.91970297</v>
      </c>
      <c r="C44" s="6">
        <v>0.02210445059361588</v>
      </c>
      <c r="D44" s="5">
        <v>150000</v>
      </c>
    </row>
    <row r="45" spans="1:4">
      <c r="A45" s="7">
        <v>44</v>
      </c>
      <c r="B45" s="5">
        <v>20108681.56357877</v>
      </c>
      <c r="C45" s="6">
        <v>0.02210445059361588</v>
      </c>
      <c r="D45" s="5">
        <v>150000</v>
      </c>
    </row>
    <row r="46" spans="1:4">
      <c r="A46" s="7">
        <v>45</v>
      </c>
      <c r="B46" s="5">
        <v>20703172.92170365</v>
      </c>
      <c r="C46" s="6">
        <v>0.02210445059361588</v>
      </c>
      <c r="D46" s="5">
        <v>150000</v>
      </c>
    </row>
    <row r="47" spans="1:4">
      <c r="A47" s="7">
        <v>46</v>
      </c>
      <c r="B47" s="5">
        <v>21310805.18468253</v>
      </c>
      <c r="C47" s="6">
        <v>0.02210445059361588</v>
      </c>
      <c r="D47" s="5">
        <v>150000</v>
      </c>
    </row>
    <row r="48" spans="1:4">
      <c r="A48" s="7">
        <v>47</v>
      </c>
      <c r="B48" s="5">
        <v>21931868.82499752</v>
      </c>
      <c r="C48" s="6">
        <v>0.02210445059361588</v>
      </c>
      <c r="D48" s="5">
        <v>150000</v>
      </c>
    </row>
    <row r="49" spans="1:4">
      <c r="A49" s="7">
        <v>48</v>
      </c>
      <c r="B49" s="5">
        <v>22566660.73586534</v>
      </c>
      <c r="C49" s="6">
        <v>0.02210445059361588</v>
      </c>
      <c r="D49" s="5">
        <v>150000</v>
      </c>
    </row>
    <row r="50" spans="1:4">
      <c r="A50" s="7">
        <v>49</v>
      </c>
      <c r="B50" s="5">
        <v>23215484.37316417</v>
      </c>
      <c r="C50" s="6">
        <v>0.02210445059361588</v>
      </c>
      <c r="D50" s="5">
        <v>150000</v>
      </c>
    </row>
    <row r="51" spans="1:4">
      <c r="A51" s="7">
        <v>50</v>
      </c>
      <c r="B51" s="5">
        <v>23878649.90049764</v>
      </c>
      <c r="C51" s="6">
        <v>0.02210445059361588</v>
      </c>
      <c r="D51" s="5">
        <v>150000</v>
      </c>
    </row>
    <row r="52" spans="1:4">
      <c r="A52" s="7">
        <v>51</v>
      </c>
      <c r="B52" s="5">
        <v>24556474.33746544</v>
      </c>
      <c r="C52" s="6">
        <v>0.02210445059361588</v>
      </c>
      <c r="D52" s="5">
        <v>150000</v>
      </c>
    </row>
    <row r="53" spans="1:4">
      <c r="A53" s="7">
        <v>52</v>
      </c>
      <c r="B53" s="5">
        <v>25249281.71121134</v>
      </c>
      <c r="C53" s="6">
        <v>0.02210445059361588</v>
      </c>
      <c r="D53" s="5">
        <v>150000</v>
      </c>
    </row>
    <row r="54" spans="1:4">
      <c r="A54" s="7">
        <v>53</v>
      </c>
      <c r="B54" s="5">
        <v>25957403.2113211</v>
      </c>
      <c r="C54" s="6">
        <v>0.02210445059361588</v>
      </c>
      <c r="D54" s="5">
        <v>150000</v>
      </c>
    </row>
    <row r="55" spans="1:4">
      <c r="A55" s="7">
        <v>54</v>
      </c>
      <c r="B55" s="5">
        <v>26681177.34814431</v>
      </c>
      <c r="C55" s="6">
        <v>0.02210445059361588</v>
      </c>
      <c r="D55" s="5">
        <v>150000</v>
      </c>
    </row>
    <row r="56" spans="1:4">
      <c r="A56" s="7">
        <v>55</v>
      </c>
      <c r="B56" s="5">
        <v>27420950.11461587</v>
      </c>
      <c r="C56" s="6">
        <v>0.02210445059361588</v>
      </c>
      <c r="D56" s="5">
        <v>150000</v>
      </c>
    </row>
    <row r="57" spans="1:4">
      <c r="A57" s="7">
        <v>56</v>
      </c>
      <c r="B57" s="5">
        <v>28177075.1516544</v>
      </c>
      <c r="C57" s="6">
        <v>0.02210445059361588</v>
      </c>
      <c r="D57" s="5">
        <v>150000</v>
      </c>
    </row>
    <row r="58" spans="1:4">
      <c r="A58" s="7">
        <v>57</v>
      </c>
      <c r="B58" s="5">
        <v>28949913.91721675</v>
      </c>
      <c r="C58" s="6">
        <v>0.02210445059361588</v>
      </c>
      <c r="D58" s="5">
        <v>150000</v>
      </c>
    </row>
    <row r="59" spans="1:4">
      <c r="A59" s="7">
        <v>58</v>
      </c>
      <c r="B59" s="5">
        <v>29739835.8590893</v>
      </c>
      <c r="C59" s="6">
        <v>0.02210445059361588</v>
      </c>
      <c r="D59" s="5">
        <v>150000</v>
      </c>
    </row>
    <row r="60" spans="1:4">
      <c r="A60" s="7">
        <v>59</v>
      </c>
      <c r="B60" s="5">
        <v>30547218.59149878</v>
      </c>
      <c r="C60" s="6">
        <v>0.02210445059361588</v>
      </c>
      <c r="D60" s="5">
        <v>150000</v>
      </c>
    </row>
    <row r="61" spans="1:4">
      <c r="A61" s="7">
        <v>60</v>
      </c>
      <c r="B61" s="5">
        <v>31372448.07562695</v>
      </c>
      <c r="C61" s="6">
        <v>0.02210445059361588</v>
      </c>
      <c r="D61" s="5">
        <v>150000</v>
      </c>
    </row>
    <row r="62" spans="1:4">
      <c r="A62" s="7">
        <v>61</v>
      </c>
      <c r="B62" s="5">
        <v>32215918.80411543</v>
      </c>
      <c r="C62" s="6">
        <v>0.02210445059361588</v>
      </c>
      <c r="D62" s="5">
        <v>150000</v>
      </c>
    </row>
    <row r="63" spans="1:4">
      <c r="A63" s="7">
        <v>62</v>
      </c>
      <c r="B63" s="5">
        <v>33078033.98964894</v>
      </c>
      <c r="C63" s="6">
        <v>0.02210445059361588</v>
      </c>
      <c r="D63" s="5">
        <v>150000</v>
      </c>
    </row>
    <row r="64" spans="1:4">
      <c r="A64" s="7">
        <v>63</v>
      </c>
      <c r="B64" s="5">
        <v>33959205.75770708</v>
      </c>
      <c r="C64" s="6">
        <v>0.02210445059361588</v>
      </c>
      <c r="D64" s="5">
        <v>150000</v>
      </c>
    </row>
    <row r="65" spans="1:4">
      <c r="A65" s="7">
        <v>64</v>
      </c>
      <c r="B65" s="5">
        <v>34859855.34357675</v>
      </c>
      <c r="C65" s="6">
        <v>0.02210445059361588</v>
      </c>
      <c r="D65" s="5">
        <v>150000</v>
      </c>
    </row>
    <row r="66" spans="1:4">
      <c r="A66" s="7">
        <v>65</v>
      </c>
      <c r="B66" s="5">
        <v>35780413.29371944</v>
      </c>
      <c r="C66" s="6">
        <v>0.02210445059361588</v>
      </c>
      <c r="D66" s="5">
        <v>150000</v>
      </c>
    </row>
    <row r="67" spans="1:4">
      <c r="A67" s="7">
        <v>66</v>
      </c>
      <c r="B67" s="5">
        <v>36721319.67158962</v>
      </c>
      <c r="C67" s="6">
        <v>0.02210445059361588</v>
      </c>
      <c r="D67" s="5">
        <v>150000</v>
      </c>
    </row>
    <row r="68" spans="1:4">
      <c r="A68" s="7">
        <v>67</v>
      </c>
      <c r="B68" s="5">
        <v>37683024.26800265</v>
      </c>
      <c r="C68" s="6">
        <v>0.02210445059361588</v>
      </c>
      <c r="D68" s="5">
        <v>150000</v>
      </c>
    </row>
    <row r="69" spans="1:4">
      <c r="A69" s="7">
        <v>68</v>
      </c>
      <c r="B69" s="5">
        <v>38665986.81615274</v>
      </c>
      <c r="C69" s="6">
        <v>0.02210445059361588</v>
      </c>
      <c r="D69" s="5">
        <v>150000</v>
      </c>
    </row>
    <row r="70" spans="1:4">
      <c r="A70" s="7">
        <v>69</v>
      </c>
      <c r="B70" s="5">
        <v>39670677.2113838</v>
      </c>
      <c r="C70" s="6">
        <v>0.02210445059361588</v>
      </c>
      <c r="D70" s="5">
        <v>150000</v>
      </c>
    </row>
    <row r="71" spans="1:4">
      <c r="A71" s="7">
        <v>70</v>
      </c>
      <c r="B71" s="5">
        <v>40697575.73581811</v>
      </c>
      <c r="C71" s="6">
        <v>0.02210445059361588</v>
      </c>
      <c r="D71" s="5">
        <v>150000</v>
      </c>
    </row>
    <row r="72" spans="1:4">
      <c r="A72" s="7">
        <v>71</v>
      </c>
      <c r="B72" s="5">
        <v>41747173.28795044</v>
      </c>
      <c r="C72" s="6">
        <v>0.02210445059361588</v>
      </c>
      <c r="D72" s="5">
        <v>150000</v>
      </c>
    </row>
    <row r="73" spans="1:4">
      <c r="A73" s="7">
        <v>72</v>
      </c>
      <c r="B73" s="5">
        <v>42819971.61731707</v>
      </c>
      <c r="C73" s="6">
        <v>0.02210445059361588</v>
      </c>
      <c r="D73" s="5">
        <v>150000</v>
      </c>
    </row>
    <row r="74" spans="1:4">
      <c r="A74" s="7">
        <v>73</v>
      </c>
      <c r="B74" s="5">
        <v>43916483.56435209</v>
      </c>
      <c r="C74" s="6">
        <v>0.02210445059361588</v>
      </c>
      <c r="D74" s="5">
        <v>150000</v>
      </c>
    </row>
    <row r="75" spans="1:4">
      <c r="A75" s="7">
        <v>74</v>
      </c>
      <c r="B75" s="5">
        <v>45037233.30554565</v>
      </c>
      <c r="C75" s="6">
        <v>0.02210445059361588</v>
      </c>
      <c r="D75" s="5">
        <v>150000</v>
      </c>
    </row>
    <row r="76" spans="1:4">
      <c r="A76" s="7">
        <v>75</v>
      </c>
      <c r="B76" s="5">
        <v>46182756.60402124</v>
      </c>
      <c r="C76" s="6">
        <v>0.02210445059361588</v>
      </c>
      <c r="D76" s="5">
        <v>150000</v>
      </c>
    </row>
    <row r="77" spans="1:4">
      <c r="A77" s="7">
        <v>76</v>
      </c>
      <c r="B77" s="5">
        <v>47353601.06565181</v>
      </c>
      <c r="C77" s="6">
        <v>0.02210445059361588</v>
      </c>
      <c r="D77" s="5">
        <v>150000</v>
      </c>
    </row>
    <row r="78" spans="1:4">
      <c r="A78" s="7">
        <v>77</v>
      </c>
      <c r="B78" s="5">
        <v>48550326.40083731</v>
      </c>
      <c r="C78" s="6">
        <v>0.02210445059361588</v>
      </c>
      <c r="D78" s="5">
        <v>150000</v>
      </c>
    </row>
    <row r="79" spans="1:4">
      <c r="A79" s="7">
        <v>78</v>
      </c>
      <c r="B79" s="5">
        <v>49773504.69206854</v>
      </c>
      <c r="C79" s="6">
        <v>0.02210445059361588</v>
      </c>
      <c r="D79" s="5">
        <v>150000</v>
      </c>
    </row>
    <row r="80" spans="1:4">
      <c r="A80" s="7">
        <v>79</v>
      </c>
      <c r="B80" s="5">
        <v>51023720.66740548</v>
      </c>
      <c r="C80" s="6">
        <v>0.02210445059361588</v>
      </c>
      <c r="D80" s="5">
        <v>150000</v>
      </c>
    </row>
    <row r="81" spans="1:4">
      <c r="A81" s="7">
        <v>80</v>
      </c>
      <c r="B81" s="5">
        <v>52301571.9800006</v>
      </c>
      <c r="C81" s="6">
        <v>0.02210445059361588</v>
      </c>
      <c r="D81" s="5">
        <v>150000</v>
      </c>
    </row>
    <row r="82" spans="1:4">
      <c r="A82" s="7">
        <v>81</v>
      </c>
      <c r="B82" s="5">
        <v>53607669.49380097</v>
      </c>
      <c r="C82" s="6">
        <v>0.02210445059361588</v>
      </c>
      <c r="D82" s="5">
        <v>150000</v>
      </c>
    </row>
    <row r="83" spans="1:4">
      <c r="A83" s="7">
        <v>82</v>
      </c>
      <c r="B83" s="5">
        <v>54942637.57556558</v>
      </c>
      <c r="C83" s="6">
        <v>0.02210445059361588</v>
      </c>
      <c r="D83" s="5">
        <v>150000</v>
      </c>
    </row>
    <row r="84" spans="1:4">
      <c r="A84" s="7">
        <v>83</v>
      </c>
      <c r="B84" s="5">
        <v>56307114.39333761</v>
      </c>
      <c r="C84" s="6">
        <v>0.02210445059361588</v>
      </c>
      <c r="D84" s="5">
        <v>150000</v>
      </c>
    </row>
    <row r="85" spans="1:4">
      <c r="A85" s="7">
        <v>84</v>
      </c>
      <c r="B85" s="5">
        <v>57701752.22151423</v>
      </c>
      <c r="C85" s="6">
        <v>0.02210445059361588</v>
      </c>
      <c r="D85" s="5">
        <v>150000</v>
      </c>
    </row>
    <row r="86" spans="1:4">
      <c r="A86" s="7">
        <v>85</v>
      </c>
      <c r="B86" s="5">
        <v>59127217.75265975</v>
      </c>
      <c r="C86" s="6">
        <v>0.02210445059361588</v>
      </c>
      <c r="D86" s="5">
        <v>150000</v>
      </c>
    </row>
    <row r="87" spans="1:4">
      <c r="A87" s="7">
        <v>86</v>
      </c>
      <c r="B87" s="5">
        <v>60584192.41621139</v>
      </c>
      <c r="C87" s="6">
        <v>0.02210445059361588</v>
      </c>
      <c r="D87" s="5">
        <v>150000</v>
      </c>
    </row>
    <row r="88" spans="1:4">
      <c r="A88" s="7">
        <v>87</v>
      </c>
      <c r="B88" s="5">
        <v>62073372.70422965</v>
      </c>
      <c r="C88" s="6">
        <v>0.02210445059361588</v>
      </c>
      <c r="D88" s="5">
        <v>150000</v>
      </c>
    </row>
    <row r="89" spans="1:4">
      <c r="A89" s="7">
        <v>88</v>
      </c>
      <c r="B89" s="5">
        <v>63595470.5043494</v>
      </c>
      <c r="C89" s="6">
        <v>0.02210445059361588</v>
      </c>
      <c r="D89" s="5">
        <v>150000</v>
      </c>
    </row>
    <row r="90" spans="1:4">
      <c r="A90" s="7">
        <v>89</v>
      </c>
      <c r="B90" s="5">
        <v>65151213.44009055</v>
      </c>
      <c r="C90" s="6">
        <v>0.02210445059361588</v>
      </c>
      <c r="D90" s="5">
        <v>150000</v>
      </c>
    </row>
    <row r="91" spans="1:4">
      <c r="A91" s="7">
        <v>90</v>
      </c>
      <c r="B91" s="5">
        <v>66741345.21869116</v>
      </c>
      <c r="C91" s="6">
        <v>0.02210445059361588</v>
      </c>
      <c r="D91" s="5">
        <v>150000</v>
      </c>
    </row>
    <row r="92" spans="1:4">
      <c r="A92" s="7">
        <v>91</v>
      </c>
      <c r="B92" s="5">
        <v>68366625.98662917</v>
      </c>
      <c r="C92" s="6">
        <v>0.02210445059361588</v>
      </c>
      <c r="D92" s="5">
        <v>150000</v>
      </c>
    </row>
    <row r="93" spans="1:4">
      <c r="A93" s="7">
        <v>92</v>
      </c>
      <c r="B93" s="5">
        <v>70027832.69300283</v>
      </c>
      <c r="C93" s="6">
        <v>0.02210445059361588</v>
      </c>
      <c r="D93" s="5">
        <v>150000</v>
      </c>
    </row>
    <row r="94" spans="1:4">
      <c r="A94" s="7">
        <v>93</v>
      </c>
      <c r="B94" s="5">
        <v>71725759.46094331</v>
      </c>
      <c r="C94" s="6">
        <v>0.02210445059361588</v>
      </c>
      <c r="D94" s="5">
        <v>150000</v>
      </c>
    </row>
    <row r="95" spans="1:4">
      <c r="A95" s="7">
        <v>94</v>
      </c>
      <c r="B95" s="5">
        <v>73461217.96723731</v>
      </c>
      <c r="C95" s="6">
        <v>0.02210445059361588</v>
      </c>
      <c r="D95" s="5">
        <v>150000</v>
      </c>
    </row>
    <row r="96" spans="1:4">
      <c r="A96" s="7">
        <v>95</v>
      </c>
      <c r="B96" s="5">
        <v>75235037.83034095</v>
      </c>
      <c r="C96" s="6">
        <v>0.02210445059361588</v>
      </c>
      <c r="D96" s="5">
        <v>150000</v>
      </c>
    </row>
    <row r="97" spans="1:4">
      <c r="A97" s="7">
        <v>96</v>
      </c>
      <c r="B97" s="5">
        <v>77048067.00697054</v>
      </c>
      <c r="C97" s="6">
        <v>0.02210445059361588</v>
      </c>
      <c r="D97" s="5">
        <v>150000</v>
      </c>
    </row>
    <row r="98" spans="1:4">
      <c r="A98" s="7">
        <v>97</v>
      </c>
      <c r="B98" s="5">
        <v>78901172.19745973</v>
      </c>
      <c r="C98" s="6">
        <v>0.02210445059361588</v>
      </c>
      <c r="D98" s="5">
        <v>150000</v>
      </c>
    </row>
    <row r="99" spans="1:4">
      <c r="A99" s="7">
        <v>98</v>
      </c>
      <c r="B99" s="5">
        <v>80795239.26007685</v>
      </c>
      <c r="C99" s="6">
        <v>0.02210445059361588</v>
      </c>
      <c r="D99" s="5">
        <v>150000</v>
      </c>
    </row>
    <row r="100" spans="1:4">
      <c r="A100" s="7">
        <v>99</v>
      </c>
      <c r="B100" s="5">
        <v>82731173.63450059</v>
      </c>
      <c r="C100" s="6">
        <v>0.02210445059361588</v>
      </c>
      <c r="D100" s="5">
        <v>150000</v>
      </c>
    </row>
    <row r="101" spans="1:4">
      <c r="A101" s="7">
        <v>100</v>
      </c>
      <c r="B101" s="5">
        <v>84709900.77465627</v>
      </c>
      <c r="C101" s="6">
        <v>0.02210445059361588</v>
      </c>
      <c r="D101" s="5">
        <v>150000</v>
      </c>
    </row>
    <row r="102" spans="1:4">
      <c r="A102" s="7">
        <v>101</v>
      </c>
      <c r="B102" s="5">
        <v>86732366.59111975</v>
      </c>
      <c r="C102" s="6">
        <v>0.02210445059361588</v>
      </c>
      <c r="D102" s="5">
        <v>150000</v>
      </c>
    </row>
    <row r="103" spans="1:4">
      <c r="A103" s="7">
        <v>102</v>
      </c>
      <c r="B103" s="5">
        <v>88799537.90330054</v>
      </c>
      <c r="C103" s="6">
        <v>0.02210445059361588</v>
      </c>
      <c r="D103" s="5">
        <v>150000</v>
      </c>
    </row>
    <row r="104" spans="1:4">
      <c r="A104" s="7">
        <v>103</v>
      </c>
      <c r="B104" s="5">
        <v>90912402.90161997</v>
      </c>
      <c r="C104" s="6">
        <v>0.02210445059361588</v>
      </c>
      <c r="D104" s="5">
        <v>150000</v>
      </c>
    </row>
    <row r="105" spans="1:4">
      <c r="A105" s="7">
        <v>104</v>
      </c>
      <c r="B105" s="5">
        <v>93071971.61990573</v>
      </c>
      <c r="C105" s="6">
        <v>0.02210445059361588</v>
      </c>
      <c r="D105" s="5">
        <v>150000</v>
      </c>
    </row>
    <row r="106" spans="1:4">
      <c r="A106" s="7">
        <v>105</v>
      </c>
      <c r="B106" s="5">
        <v>95279276.41822834</v>
      </c>
      <c r="C106" s="6">
        <v>0.02210445059361588</v>
      </c>
      <c r="D106" s="5">
        <v>150000</v>
      </c>
    </row>
    <row r="107" spans="1:4">
      <c r="A107" s="7">
        <v>106</v>
      </c>
      <c r="B107" s="5">
        <v>97535372.47641054</v>
      </c>
      <c r="C107" s="6">
        <v>0.02210445059361588</v>
      </c>
      <c r="D107" s="5">
        <v>150000</v>
      </c>
    </row>
    <row r="108" spans="1:4">
      <c r="A108" s="7">
        <v>107</v>
      </c>
      <c r="B108" s="5">
        <v>99841338.29844527</v>
      </c>
      <c r="C108" s="6">
        <v>0.02210445059361588</v>
      </c>
      <c r="D108" s="5">
        <v>150000</v>
      </c>
    </row>
    <row r="109" spans="1:4">
      <c r="A109" s="7">
        <v>108</v>
      </c>
      <c r="B109" s="5">
        <v>102198276.2280637</v>
      </c>
      <c r="C109" s="6">
        <v>0.02210445059361588</v>
      </c>
      <c r="D109" s="5">
        <v>150000</v>
      </c>
    </row>
    <row r="110" spans="1:4">
      <c r="A110" s="7">
        <v>109</v>
      </c>
      <c r="B110" s="5">
        <v>104607312.9756997</v>
      </c>
      <c r="C110" s="6">
        <v>0.02210445059361588</v>
      </c>
      <c r="D110" s="5">
        <v>150000</v>
      </c>
    </row>
    <row r="111" spans="1:4">
      <c r="A111" s="7">
        <v>110</v>
      </c>
      <c r="B111" s="5">
        <v>107069600.157102</v>
      </c>
      <c r="C111" s="6">
        <v>0.02210445059361588</v>
      </c>
      <c r="D111" s="5">
        <v>150000</v>
      </c>
    </row>
    <row r="112" spans="1:4">
      <c r="A112" s="7">
        <v>111</v>
      </c>
      <c r="B112" s="5">
        <v>109586314.8438528</v>
      </c>
      <c r="C112" s="6">
        <v>0.02210445059361588</v>
      </c>
      <c r="D112" s="5">
        <v>150000</v>
      </c>
    </row>
    <row r="113" spans="1:4">
      <c r="A113" s="7">
        <v>112</v>
      </c>
      <c r="B113" s="5">
        <v>112158660.1260552</v>
      </c>
      <c r="C113" s="6">
        <v>0.02210445059361588</v>
      </c>
      <c r="D113" s="5">
        <v>150000</v>
      </c>
    </row>
    <row r="114" spans="1:4">
      <c r="A114" s="7">
        <v>113</v>
      </c>
      <c r="B114" s="5">
        <v>114787865.6874578</v>
      </c>
      <c r="C114" s="6">
        <v>0.02210445059361588</v>
      </c>
      <c r="D114" s="5">
        <v>150000</v>
      </c>
    </row>
    <row r="115" spans="1:4">
      <c r="A115" s="7">
        <v>114</v>
      </c>
      <c r="B115" s="5">
        <v>117475188.3932928</v>
      </c>
      <c r="C115" s="6">
        <v>0.02210445059361588</v>
      </c>
      <c r="D115" s="5">
        <v>150000</v>
      </c>
    </row>
    <row r="116" spans="1:4">
      <c r="A116" s="7">
        <v>115</v>
      </c>
      <c r="B116" s="5">
        <v>120221912.891108</v>
      </c>
      <c r="C116" s="6">
        <v>0.02210445059361588</v>
      </c>
      <c r="D116" s="5">
        <v>150000</v>
      </c>
    </row>
    <row r="117" spans="1:4">
      <c r="A117" s="7">
        <v>116</v>
      </c>
      <c r="B117" s="5">
        <v>123029352.2248795</v>
      </c>
      <c r="C117" s="6">
        <v>0.02210445059361588</v>
      </c>
      <c r="D117" s="5">
        <v>150000</v>
      </c>
    </row>
    <row r="118" spans="1:4">
      <c r="A118" s="7">
        <v>117</v>
      </c>
      <c r="B118" s="5">
        <v>125898848.4626989</v>
      </c>
      <c r="C118" s="6">
        <v>0.02210445059361588</v>
      </c>
      <c r="D118" s="5">
        <v>150000</v>
      </c>
    </row>
    <row r="119" spans="1:4">
      <c r="A119" s="7">
        <v>118</v>
      </c>
      <c r="B119" s="5">
        <v>128831773.3383358</v>
      </c>
      <c r="C119" s="6">
        <v>0.02210445059361588</v>
      </c>
      <c r="D119" s="5">
        <v>150000</v>
      </c>
    </row>
    <row r="120" spans="1:4">
      <c r="A120" s="7">
        <v>119</v>
      </c>
      <c r="B120" s="5">
        <v>131829528.906981</v>
      </c>
      <c r="C120" s="6">
        <v>0.02210445059361588</v>
      </c>
      <c r="D120" s="5">
        <v>150000</v>
      </c>
    </row>
    <row r="121" spans="1:4">
      <c r="A121" s="7">
        <v>120</v>
      </c>
      <c r="B121" s="5">
        <v>134893548.215485</v>
      </c>
      <c r="C121" s="6">
        <v>0.02210445059361588</v>
      </c>
      <c r="D121" s="5">
        <v>150000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2.7109375" customWidth="1"/>
    <col min="2" max="4" width="18.7109375" customWidth="1"/>
  </cols>
  <sheetData>
    <row r="1" spans="1:4">
      <c r="A1" s="4" t="s">
        <v>25</v>
      </c>
      <c r="B1" s="4" t="s">
        <v>32</v>
      </c>
      <c r="C1" s="4" t="s">
        <v>33</v>
      </c>
      <c r="D1" s="4" t="s">
        <v>34</v>
      </c>
    </row>
    <row r="2" spans="1:4">
      <c r="A2" s="7">
        <v>1</v>
      </c>
      <c r="B2" s="5">
        <v>5814886.9</v>
      </c>
      <c r="C2" s="5">
        <v>6164007.5</v>
      </c>
      <c r="D2" s="5">
        <v>6513128.100000001</v>
      </c>
    </row>
    <row r="3" spans="1:4">
      <c r="A3" s="7">
        <v>2</v>
      </c>
      <c r="B3" s="5">
        <v>8487119.934999999</v>
      </c>
      <c r="C3" s="5">
        <v>9505009.375</v>
      </c>
      <c r="D3" s="5">
        <v>10592722.935</v>
      </c>
    </row>
    <row r="4" spans="1:4">
      <c r="A4" s="7">
        <v>3</v>
      </c>
      <c r="B4" s="5">
        <v>11560187.92525</v>
      </c>
      <c r="C4" s="5">
        <v>13681261.71875</v>
      </c>
      <c r="D4" s="5">
        <v>16100175.96225</v>
      </c>
    </row>
    <row r="5" spans="1:4">
      <c r="A5" s="7">
        <v>4</v>
      </c>
      <c r="B5" s="5">
        <v>15094216.1140375</v>
      </c>
      <c r="C5" s="5">
        <v>18901577.1484375</v>
      </c>
      <c r="D5" s="5">
        <v>23535237.5490375</v>
      </c>
    </row>
    <row r="6" spans="1:4">
      <c r="A6" s="7">
        <v>5</v>
      </c>
      <c r="B6" s="5">
        <v>19158348.53114312</v>
      </c>
      <c r="C6" s="5">
        <v>25426971.43554688</v>
      </c>
      <c r="D6" s="5">
        <v>33572570.69120063</v>
      </c>
    </row>
    <row r="7" spans="1:4">
      <c r="A7" s="7">
        <v>6</v>
      </c>
      <c r="B7" s="5">
        <v>23832100.81081459</v>
      </c>
      <c r="C7" s="5">
        <v>33583714.29443359</v>
      </c>
      <c r="D7" s="5">
        <v>47122970.43312085</v>
      </c>
    </row>
    <row r="8" spans="1:4">
      <c r="A8" s="7">
        <v>7</v>
      </c>
      <c r="B8" s="5">
        <v>29206915.93243678</v>
      </c>
      <c r="C8" s="5">
        <v>43779642.86804199</v>
      </c>
      <c r="D8" s="5">
        <v>65416010.08471316</v>
      </c>
    </row>
    <row r="9" spans="1:4">
      <c r="A9" s="7">
        <v>8</v>
      </c>
      <c r="B9" s="5">
        <v>35387953.32230229</v>
      </c>
      <c r="C9" s="5">
        <v>56524553.58505249</v>
      </c>
      <c r="D9" s="5">
        <v>90111613.61436278</v>
      </c>
    </row>
    <row r="10" spans="1:4">
      <c r="A10" s="7">
        <v>9</v>
      </c>
      <c r="B10" s="5">
        <v>42496146.32064763</v>
      </c>
      <c r="C10" s="5">
        <v>72455691.98131561</v>
      </c>
      <c r="D10" s="5">
        <v>123450678.3793898</v>
      </c>
    </row>
    <row r="11" spans="1:4">
      <c r="A11" s="7">
        <v>10</v>
      </c>
      <c r="B11" s="5">
        <v>50670568.26874477</v>
      </c>
      <c r="C11" s="5">
        <v>92369614.97664452</v>
      </c>
      <c r="D11" s="5">
        <v>168458415.8121762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2" t="s">
        <v>35</v>
      </c>
    </row>
    <row r="3" spans="1:2">
      <c r="A3" t="s">
        <v>36</v>
      </c>
      <c r="B3" s="5">
        <v>3491206</v>
      </c>
    </row>
    <row r="4" spans="1:2">
      <c r="A4" t="s">
        <v>37</v>
      </c>
      <c r="B4" s="5">
        <v>100000000</v>
      </c>
    </row>
    <row r="5" spans="1:2">
      <c r="A5" t="s">
        <v>38</v>
      </c>
      <c r="B5" s="7">
        <v>10</v>
      </c>
    </row>
    <row r="6" spans="1:2">
      <c r="A6" t="s">
        <v>39</v>
      </c>
      <c r="B6" s="6">
        <v>0.3</v>
      </c>
    </row>
    <row r="7" spans="1:2">
      <c r="A7" t="s">
        <v>40</v>
      </c>
      <c r="B7" s="5">
        <v>1800000</v>
      </c>
    </row>
    <row r="9" spans="1:2">
      <c r="A9" s="2" t="s">
        <v>41</v>
      </c>
    </row>
    <row r="10" spans="1:2">
      <c r="A10" t="s">
        <v>42</v>
      </c>
      <c r="B10" s="5">
        <f>(B4 - B3*(1+B6)^B5) * B6 / ((1+B6)^B5 - 1)</f>
        <v>0</v>
      </c>
    </row>
    <row r="12" spans="1:2">
      <c r="A12" s="2" t="s">
        <v>43</v>
      </c>
    </row>
    <row r="13" spans="1:2">
      <c r="A13" t="s">
        <v>44</v>
      </c>
      <c r="B13" s="6">
        <f>RATE(B5,-B7,-B3,B4,1)</f>
        <v>0</v>
      </c>
    </row>
    <row r="15" spans="1:2">
      <c r="A15" s="2" t="s">
        <v>45</v>
      </c>
    </row>
    <row r="16" spans="1:2">
      <c r="A16" t="s">
        <v>46</v>
      </c>
    </row>
    <row r="17" spans="1:1">
      <c r="A17" t="s">
        <v>47</v>
      </c>
    </row>
    <row r="18" spans="1:1">
      <c r="A18" t="s">
        <v>48</v>
      </c>
    </row>
    <row r="19" spans="1:1">
      <c r="A19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16.7109375" customWidth="1"/>
    <col min="2" max="2" width="32.7109375" customWidth="1"/>
    <col min="3" max="6" width="18.7109375" customWidth="1"/>
  </cols>
  <sheetData>
    <row r="1" spans="1:6">
      <c r="A1" s="2" t="s">
        <v>50</v>
      </c>
    </row>
    <row r="3" spans="1:6">
      <c r="A3" t="s">
        <v>51</v>
      </c>
      <c r="B3" s="5">
        <v>3491206</v>
      </c>
    </row>
    <row r="5" spans="1:6">
      <c r="A5" s="4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</row>
    <row r="7" spans="1:6">
      <c r="A7" s="7" t="s">
        <v>58</v>
      </c>
      <c r="B7" s="7" t="s">
        <v>59</v>
      </c>
      <c r="C7" s="6">
        <v>0.1</v>
      </c>
      <c r="D7" s="6">
        <v>0.25</v>
      </c>
      <c r="E7" s="5">
        <f>$B$3*C7</f>
        <v>0</v>
      </c>
      <c r="F7" s="6">
        <f>C7*D7</f>
        <v>0</v>
      </c>
    </row>
    <row r="8" spans="1:6">
      <c r="A8" s="7" t="s">
        <v>60</v>
      </c>
      <c r="B8" s="7" t="s">
        <v>61</v>
      </c>
      <c r="C8" s="6">
        <v>0.05</v>
      </c>
      <c r="D8" s="6">
        <v>0.12</v>
      </c>
      <c r="E8" s="5">
        <f>$B$3*C8</f>
        <v>0</v>
      </c>
      <c r="F8" s="6">
        <f>C8*D8</f>
        <v>0</v>
      </c>
    </row>
    <row r="9" spans="1:6">
      <c r="A9" s="7" t="s">
        <v>62</v>
      </c>
      <c r="B9" s="7" t="s">
        <v>63</v>
      </c>
      <c r="C9" s="6">
        <v>0.2</v>
      </c>
      <c r="D9" s="6">
        <v>0.3</v>
      </c>
      <c r="E9" s="5">
        <f>$B$3*C9</f>
        <v>0</v>
      </c>
      <c r="F9" s="6">
        <f>C9*D9</f>
        <v>0</v>
      </c>
    </row>
    <row r="10" spans="1:6">
      <c r="A10" s="7" t="s">
        <v>64</v>
      </c>
      <c r="B10" s="7" t="s">
        <v>65</v>
      </c>
      <c r="C10" s="6">
        <v>0.15</v>
      </c>
      <c r="D10" s="6">
        <v>0.25</v>
      </c>
      <c r="E10" s="5">
        <f>$B$3*C10</f>
        <v>0</v>
      </c>
      <c r="F10" s="6">
        <f>C10*D10</f>
        <v>0</v>
      </c>
    </row>
    <row r="11" spans="1:6">
      <c r="A11" s="7" t="s">
        <v>66</v>
      </c>
      <c r="B11" s="7" t="s">
        <v>67</v>
      </c>
      <c r="C11" s="6">
        <v>0.15</v>
      </c>
      <c r="D11" s="6">
        <v>0.35</v>
      </c>
      <c r="E11" s="5">
        <f>$B$3*C11</f>
        <v>0</v>
      </c>
      <c r="F11" s="6">
        <f>C11*D11</f>
        <v>0</v>
      </c>
    </row>
    <row r="12" spans="1:6">
      <c r="A12" s="7" t="s">
        <v>68</v>
      </c>
      <c r="B12" s="7" t="s">
        <v>69</v>
      </c>
      <c r="C12" s="6">
        <v>0.1</v>
      </c>
      <c r="D12" s="6">
        <v>0.12</v>
      </c>
      <c r="E12" s="5">
        <f>$B$3*C12</f>
        <v>0</v>
      </c>
      <c r="F12" s="6">
        <f>C12*D12</f>
        <v>0</v>
      </c>
    </row>
    <row r="13" spans="1:6">
      <c r="A13" s="7" t="s">
        <v>70</v>
      </c>
      <c r="B13" s="7" t="s">
        <v>71</v>
      </c>
      <c r="C13" s="6">
        <v>0.1</v>
      </c>
      <c r="D13" s="6">
        <v>0.08</v>
      </c>
      <c r="E13" s="5">
        <f>$B$3*C13</f>
        <v>0</v>
      </c>
      <c r="F13" s="6">
        <f>C13*D13</f>
        <v>0</v>
      </c>
    </row>
    <row r="14" spans="1:6">
      <c r="A14" s="7" t="s">
        <v>72</v>
      </c>
      <c r="B14" s="7" t="s">
        <v>73</v>
      </c>
      <c r="C14" s="6">
        <v>0.15</v>
      </c>
      <c r="D14" s="6">
        <v>0.05</v>
      </c>
      <c r="E14" s="5">
        <f>$B$3*C14</f>
        <v>0</v>
      </c>
      <c r="F14" s="6">
        <f>C14*D14</f>
        <v>0</v>
      </c>
    </row>
    <row r="15" spans="1:6">
      <c r="B15" s="8" t="s">
        <v>74</v>
      </c>
      <c r="C15" s="8">
        <f>SUM(C7:C14)</f>
        <v>0</v>
      </c>
      <c r="D15" s="8"/>
      <c r="E15" s="8">
        <f>SUM(E7:E14)</f>
        <v>0</v>
      </c>
      <c r="F15" s="8">
        <f>SUM(F7:F14)</f>
        <v>0</v>
      </c>
    </row>
    <row r="17" spans="2:3">
      <c r="B17" s="2" t="s">
        <v>75</v>
      </c>
      <c r="C17" s="6">
        <f>F15</f>
        <v>0</v>
      </c>
    </row>
    <row r="19" spans="2:3">
      <c r="B19" s="2" t="s">
        <v>76</v>
      </c>
    </row>
    <row r="20" spans="2:3">
      <c r="B20" t="s">
        <v>77</v>
      </c>
    </row>
    <row r="21" spans="2:3">
      <c r="B21" t="s">
        <v>78</v>
      </c>
    </row>
    <row r="22" spans="2:3">
      <c r="B2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年度版_Yearly</vt:lpstr>
      <vt:lpstr>月度版_Monthly</vt:lpstr>
      <vt:lpstr>三情境_Yearly</vt:lpstr>
      <vt:lpstr>倒推目標_GoalSeek</vt:lpstr>
      <vt:lpstr>資產配置_Alloc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2025-12-09T00:53:23Z</dcterms:created>
  <dcterms:modified xsi:type="dcterms:W3CDTF">2025-12-09T00:53:23Z</dcterms:modified>
</cp:coreProperties>
</file>